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Daniil\Desktop\"/>
    </mc:Choice>
  </mc:AlternateContent>
  <xr:revisionPtr revIDLastSave="0" documentId="8_{D67E2136-C687-405C-AD76-860CD5D0F11F}" xr6:coauthVersionLast="47" xr6:coauthVersionMax="47" xr10:uidLastSave="{00000000-0000-0000-0000-000000000000}"/>
  <bookViews>
    <workbookView xWindow="-108" yWindow="-108" windowWidth="23256" windowHeight="12576" activeTab="3" xr2:uid="{C8A70BE6-61AC-4770-90E0-1BF45BBEAAD5}"/>
  </bookViews>
  <sheets>
    <sheet name="Лист1" sheetId="1" r:id="rId1"/>
    <sheet name="Лист2" sheetId="2" r:id="rId2"/>
    <sheet name="Лист3" sheetId="3" r:id="rId3"/>
    <sheet name="Лист4" sheetId="4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4" l="1"/>
  <c r="C3" i="4"/>
  <c r="C13" i="3"/>
  <c r="D13" i="3" s="1"/>
  <c r="C12" i="3"/>
  <c r="D12" i="3" s="1"/>
  <c r="C11" i="3"/>
  <c r="D11" i="3" s="1"/>
  <c r="C10" i="3"/>
  <c r="D10" i="3" s="1"/>
  <c r="C9" i="3"/>
  <c r="D9" i="3" s="1"/>
  <c r="C8" i="3"/>
  <c r="D8" i="3" s="1"/>
  <c r="C7" i="3"/>
  <c r="D7" i="3" s="1"/>
  <c r="C6" i="3"/>
  <c r="D6" i="3" s="1"/>
  <c r="C5" i="3"/>
  <c r="D5" i="3" s="1"/>
  <c r="C4" i="3"/>
  <c r="D4" i="3" s="1"/>
  <c r="C3" i="3"/>
  <c r="D3" i="3" s="1"/>
  <c r="C13" i="2"/>
  <c r="D13" i="2" s="1"/>
  <c r="C12" i="2"/>
  <c r="D12" i="2" s="1"/>
  <c r="C11" i="2"/>
  <c r="D11" i="2" s="1"/>
  <c r="C10" i="2"/>
  <c r="D10" i="2" s="1"/>
  <c r="C9" i="2"/>
  <c r="D9" i="2" s="1"/>
  <c r="C8" i="2"/>
  <c r="D8" i="2" s="1"/>
  <c r="C7" i="2"/>
  <c r="D7" i="2" s="1"/>
  <c r="C6" i="2"/>
  <c r="D6" i="2" s="1"/>
  <c r="C5" i="2"/>
  <c r="D5" i="2" s="1"/>
  <c r="C4" i="2"/>
  <c r="D4" i="2" s="1"/>
  <c r="C3" i="2"/>
  <c r="D3" i="2" s="1"/>
  <c r="D3" i="1"/>
  <c r="D4" i="1"/>
  <c r="D5" i="1"/>
  <c r="D6" i="1"/>
  <c r="D7" i="1"/>
  <c r="D8" i="1"/>
  <c r="D9" i="1"/>
  <c r="D10" i="1"/>
  <c r="D11" i="1"/>
  <c r="D12" i="1"/>
  <c r="D13" i="1"/>
  <c r="C4" i="1"/>
  <c r="C5" i="1"/>
  <c r="C6" i="1"/>
  <c r="C7" i="1"/>
  <c r="C8" i="1"/>
  <c r="C9" i="1"/>
  <c r="C10" i="1"/>
  <c r="C11" i="1"/>
  <c r="C12" i="1"/>
  <c r="C13" i="1"/>
  <c r="C3" i="1"/>
</calcChain>
</file>

<file path=xl/sharedStrings.xml><?xml version="1.0" encoding="utf-8"?>
<sst xmlns="http://schemas.openxmlformats.org/spreadsheetml/2006/main" count="51" uniqueCount="19">
  <si>
    <t>Месяц</t>
  </si>
  <si>
    <t>Средняя цена (руб/м2)</t>
  </si>
  <si>
    <t>Январь</t>
  </si>
  <si>
    <t>Февраль</t>
  </si>
  <si>
    <t>Март</t>
  </si>
  <si>
    <t>Апрель</t>
  </si>
  <si>
    <t>Май</t>
  </si>
  <si>
    <t>Июнь</t>
  </si>
  <si>
    <t>Июль</t>
  </si>
  <si>
    <t>Август</t>
  </si>
  <si>
    <t>Сентябрь</t>
  </si>
  <si>
    <t>Октябрь</t>
  </si>
  <si>
    <t>Ноябрь</t>
  </si>
  <si>
    <t>Декабрь</t>
  </si>
  <si>
    <t>Индекс роста за месяц (%)</t>
  </si>
  <si>
    <t>Темп роста за месяц (%)</t>
  </si>
  <si>
    <t>Год</t>
  </si>
  <si>
    <t>Годовой индекс роста (%)</t>
  </si>
  <si>
    <t>Годовой темп роста (%)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</si>
</sst>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04"/>
      <scheme val="minor"/>
    </font>
    <font>
      <sz val="14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2" fillId="0" borderId="1" xfId="0" applyFont="1" applyBorder="1" applyAlignment="1">
      <alignment horizontal="justify" vertical="center" wrapText="1"/>
    </xf>
    <xf numFmtId="0" fontId="1" fillId="0" borderId="1" xfId="0" applyFont="1" applyBorder="1" applyAlignment="1">
      <alignment horizontal="justify" vertical="center" wrapText="1"/>
    </xf>
    <xf numFmtId="0" fontId="2" fillId="0" borderId="0" xfId="0" applyFont="1" applyBorder="1"/>
    <xf numFmtId="0" fontId="0" fillId="0" borderId="0" xfId="0" applyBorder="1"/>
    <xf numFmtId="0" fontId="3" fillId="0" borderId="1" xfId="0" applyFont="1" applyBorder="1"/>
    <xf numFmtId="0" fontId="2" fillId="0" borderId="0" xfId="0" applyFont="1" applyBorder="1" applyAlignment="1">
      <alignment horizontal="justify" vertical="center" wrapText="1"/>
    </xf>
    <xf numFmtId="0" fontId="3" fillId="0" borderId="0" xfId="0" applyFont="1" applyBorder="1"/>
    <xf numFmtId="0" fontId="1" fillId="0" borderId="2" xfId="0" applyFont="1" applyBorder="1" applyAlignment="1">
      <alignment horizontal="justify" vertical="center" wrapText="1"/>
    </xf>
    <xf numFmtId="0" fontId="1" fillId="0" borderId="3" xfId="0" applyFont="1" applyBorder="1" applyAlignment="1">
      <alignment horizontal="justify" vertical="center" wrapText="1"/>
    </xf>
    <xf numFmtId="0" fontId="2" fillId="0" borderId="4" xfId="0" applyNumberFormat="1" applyFont="1" applyBorder="1"/>
    <xf numFmtId="0" fontId="1" fillId="0" borderId="4" xfId="0" applyNumberFormat="1" applyFont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График месячных индексов роста цен за 2020 год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Лист1!$A$2:$A$13</c:f>
              <c:strCache>
                <c:ptCount val="12"/>
                <c:pt idx="0">
                  <c:v>Январь</c:v>
                </c:pt>
                <c:pt idx="1">
                  <c:v>Февраль</c:v>
                </c:pt>
                <c:pt idx="2">
                  <c:v>Март</c:v>
                </c:pt>
                <c:pt idx="3">
                  <c:v>Апрель</c:v>
                </c:pt>
                <c:pt idx="4">
                  <c:v>Май</c:v>
                </c:pt>
                <c:pt idx="5">
                  <c:v>Июнь</c:v>
                </c:pt>
                <c:pt idx="6">
                  <c:v>Июль</c:v>
                </c:pt>
                <c:pt idx="7">
                  <c:v>Август</c:v>
                </c:pt>
                <c:pt idx="8">
                  <c:v>Сентябрь</c:v>
                </c:pt>
                <c:pt idx="9">
                  <c:v>Октябрь</c:v>
                </c:pt>
                <c:pt idx="10">
                  <c:v>Ноябрь</c:v>
                </c:pt>
                <c:pt idx="11">
                  <c:v>Декабрь</c:v>
                </c:pt>
              </c:strCache>
            </c:strRef>
          </c:cat>
          <c:val>
            <c:numRef>
              <c:f>Лист1!$C$2:$C$13</c:f>
              <c:numCache>
                <c:formatCode>General</c:formatCode>
                <c:ptCount val="12"/>
                <c:pt idx="0">
                  <c:v>100</c:v>
                </c:pt>
                <c:pt idx="1">
                  <c:v>112.5</c:v>
                </c:pt>
                <c:pt idx="2">
                  <c:v>84.444444444444443</c:v>
                </c:pt>
                <c:pt idx="3">
                  <c:v>131.57894736842107</c:v>
                </c:pt>
                <c:pt idx="4">
                  <c:v>110.00000000000001</c:v>
                </c:pt>
                <c:pt idx="5">
                  <c:v>101.81818181818181</c:v>
                </c:pt>
                <c:pt idx="6">
                  <c:v>92.857142857142861</c:v>
                </c:pt>
                <c:pt idx="7">
                  <c:v>92.307692307692307</c:v>
                </c:pt>
                <c:pt idx="8">
                  <c:v>97.916666666666657</c:v>
                </c:pt>
                <c:pt idx="9">
                  <c:v>104.25531914893618</c:v>
                </c:pt>
                <c:pt idx="10">
                  <c:v>102.04081632653062</c:v>
                </c:pt>
                <c:pt idx="11">
                  <c:v>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88-477F-B26C-D806BEC38501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Лист1!$A$2:$A$13</c:f>
              <c:strCache>
                <c:ptCount val="12"/>
                <c:pt idx="0">
                  <c:v>Январь</c:v>
                </c:pt>
                <c:pt idx="1">
                  <c:v>Февраль</c:v>
                </c:pt>
                <c:pt idx="2">
                  <c:v>Март</c:v>
                </c:pt>
                <c:pt idx="3">
                  <c:v>Апрель</c:v>
                </c:pt>
                <c:pt idx="4">
                  <c:v>Май</c:v>
                </c:pt>
                <c:pt idx="5">
                  <c:v>Июнь</c:v>
                </c:pt>
                <c:pt idx="6">
                  <c:v>Июль</c:v>
                </c:pt>
                <c:pt idx="7">
                  <c:v>Август</c:v>
                </c:pt>
                <c:pt idx="8">
                  <c:v>Сентябрь</c:v>
                </c:pt>
                <c:pt idx="9">
                  <c:v>Октябрь</c:v>
                </c:pt>
                <c:pt idx="10">
                  <c:v>Ноябрь</c:v>
                </c:pt>
                <c:pt idx="11">
                  <c:v>Декабрь</c:v>
                </c:pt>
              </c:strCache>
            </c:strRef>
          </c:cat>
          <c:val>
            <c:numRef>
              <c:f>Лист1!$C$2:$C$13</c:f>
              <c:numCache>
                <c:formatCode>General</c:formatCode>
                <c:ptCount val="12"/>
                <c:pt idx="0">
                  <c:v>100</c:v>
                </c:pt>
                <c:pt idx="1">
                  <c:v>112.5</c:v>
                </c:pt>
                <c:pt idx="2">
                  <c:v>84.444444444444443</c:v>
                </c:pt>
                <c:pt idx="3">
                  <c:v>131.57894736842107</c:v>
                </c:pt>
                <c:pt idx="4">
                  <c:v>110.00000000000001</c:v>
                </c:pt>
                <c:pt idx="5">
                  <c:v>101.81818181818181</c:v>
                </c:pt>
                <c:pt idx="6">
                  <c:v>92.857142857142861</c:v>
                </c:pt>
                <c:pt idx="7">
                  <c:v>92.307692307692307</c:v>
                </c:pt>
                <c:pt idx="8">
                  <c:v>97.916666666666657</c:v>
                </c:pt>
                <c:pt idx="9">
                  <c:v>104.25531914893618</c:v>
                </c:pt>
                <c:pt idx="10">
                  <c:v>102.04081632653062</c:v>
                </c:pt>
                <c:pt idx="11">
                  <c:v>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C88-477F-B26C-D806BEC385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0351231"/>
        <c:axId val="1240735247"/>
      </c:lineChart>
      <c:catAx>
        <c:axId val="11003512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40735247"/>
        <c:crosses val="autoZero"/>
        <c:auto val="1"/>
        <c:lblAlgn val="ctr"/>
        <c:lblOffset val="100"/>
        <c:noMultiLvlLbl val="0"/>
      </c:catAx>
      <c:valAx>
        <c:axId val="1240735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03512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График месячных темпов роста цен за 2020 год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Лист1!$A$2:$A$13</c:f>
              <c:strCache>
                <c:ptCount val="12"/>
                <c:pt idx="0">
                  <c:v>Январь</c:v>
                </c:pt>
                <c:pt idx="1">
                  <c:v>Февраль</c:v>
                </c:pt>
                <c:pt idx="2">
                  <c:v>Март</c:v>
                </c:pt>
                <c:pt idx="3">
                  <c:v>Апрель</c:v>
                </c:pt>
                <c:pt idx="4">
                  <c:v>Май</c:v>
                </c:pt>
                <c:pt idx="5">
                  <c:v>Июнь</c:v>
                </c:pt>
                <c:pt idx="6">
                  <c:v>Июль</c:v>
                </c:pt>
                <c:pt idx="7">
                  <c:v>Август</c:v>
                </c:pt>
                <c:pt idx="8">
                  <c:v>Сентябрь</c:v>
                </c:pt>
                <c:pt idx="9">
                  <c:v>Октябрь</c:v>
                </c:pt>
                <c:pt idx="10">
                  <c:v>Ноябрь</c:v>
                </c:pt>
                <c:pt idx="11">
                  <c:v>Декабрь</c:v>
                </c:pt>
              </c:strCache>
            </c:strRef>
          </c:cat>
          <c:val>
            <c:numRef>
              <c:f>Лист1!$D$2:$D$13</c:f>
              <c:numCache>
                <c:formatCode>General</c:formatCode>
                <c:ptCount val="12"/>
                <c:pt idx="0">
                  <c:v>0</c:v>
                </c:pt>
                <c:pt idx="1">
                  <c:v>12.5</c:v>
                </c:pt>
                <c:pt idx="2">
                  <c:v>-15.555555555555557</c:v>
                </c:pt>
                <c:pt idx="3">
                  <c:v>31.578947368421069</c:v>
                </c:pt>
                <c:pt idx="4">
                  <c:v>10.000000000000014</c:v>
                </c:pt>
                <c:pt idx="5">
                  <c:v>1.818181818181813</c:v>
                </c:pt>
                <c:pt idx="6">
                  <c:v>-7.1428571428571388</c:v>
                </c:pt>
                <c:pt idx="7">
                  <c:v>-7.6923076923076934</c:v>
                </c:pt>
                <c:pt idx="8">
                  <c:v>-2.0833333333333428</c:v>
                </c:pt>
                <c:pt idx="9">
                  <c:v>4.2553191489361808</c:v>
                </c:pt>
                <c:pt idx="10">
                  <c:v>2.0408163265306172</c:v>
                </c:pt>
                <c:pt idx="11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B6-4AE4-BDE7-4B79E6D6D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6657215"/>
        <c:axId val="1296643487"/>
      </c:lineChart>
      <c:catAx>
        <c:axId val="12966572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96643487"/>
        <c:crosses val="autoZero"/>
        <c:auto val="1"/>
        <c:lblAlgn val="ctr"/>
        <c:lblOffset val="100"/>
        <c:noMultiLvlLbl val="0"/>
      </c:catAx>
      <c:valAx>
        <c:axId val="12966434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966572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График месячных индексов роста цен за 2021 год</a:t>
            </a:r>
          </a:p>
        </c:rich>
      </c:tx>
      <c:layout>
        <c:manualLayout>
          <c:xMode val="edge"/>
          <c:yMode val="edge"/>
          <c:x val="0.3455693350831146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6.8012467191601048E-2"/>
          <c:y val="0.1901057262208421"/>
          <c:w val="0.87753018372703417"/>
          <c:h val="0.61925816564596092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Лист2!$A$2:$A$13</c:f>
              <c:strCache>
                <c:ptCount val="12"/>
                <c:pt idx="0">
                  <c:v>Январь</c:v>
                </c:pt>
                <c:pt idx="1">
                  <c:v>Февраль</c:v>
                </c:pt>
                <c:pt idx="2">
                  <c:v>Март</c:v>
                </c:pt>
                <c:pt idx="3">
                  <c:v>Апрель</c:v>
                </c:pt>
                <c:pt idx="4">
                  <c:v>Май</c:v>
                </c:pt>
                <c:pt idx="5">
                  <c:v>Июнь</c:v>
                </c:pt>
                <c:pt idx="6">
                  <c:v>Июль</c:v>
                </c:pt>
                <c:pt idx="7">
                  <c:v>Август</c:v>
                </c:pt>
                <c:pt idx="8">
                  <c:v>Сентябрь</c:v>
                </c:pt>
                <c:pt idx="9">
                  <c:v>Октябрь</c:v>
                </c:pt>
                <c:pt idx="10">
                  <c:v>Ноябрь</c:v>
                </c:pt>
                <c:pt idx="11">
                  <c:v>Декабрь</c:v>
                </c:pt>
              </c:strCache>
            </c:strRef>
          </c:cat>
          <c:val>
            <c:numRef>
              <c:f>Лист2!$C$2:$C$13</c:f>
              <c:numCache>
                <c:formatCode>General</c:formatCode>
                <c:ptCount val="12"/>
                <c:pt idx="0">
                  <c:v>103.8</c:v>
                </c:pt>
                <c:pt idx="1">
                  <c:v>103.7037037037037</c:v>
                </c:pt>
                <c:pt idx="2">
                  <c:v>103.57142857142858</c:v>
                </c:pt>
                <c:pt idx="3">
                  <c:v>101.72413793103448</c:v>
                </c:pt>
                <c:pt idx="4">
                  <c:v>93.220338983050837</c:v>
                </c:pt>
                <c:pt idx="5">
                  <c:v>98.181818181818187</c:v>
                </c:pt>
                <c:pt idx="6">
                  <c:v>96.296296296296291</c:v>
                </c:pt>
                <c:pt idx="7">
                  <c:v>92.307692307692307</c:v>
                </c:pt>
                <c:pt idx="8">
                  <c:v>97.916666666666657</c:v>
                </c:pt>
                <c:pt idx="9">
                  <c:v>104.25531914893618</c:v>
                </c:pt>
                <c:pt idx="10">
                  <c:v>102.04081632653062</c:v>
                </c:pt>
                <c:pt idx="11">
                  <c:v>108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AC-4ED7-A1FB-E6AD48677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0348479"/>
        <c:axId val="1240349311"/>
      </c:lineChart>
      <c:catAx>
        <c:axId val="12403484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40349311"/>
        <c:crosses val="autoZero"/>
        <c:auto val="1"/>
        <c:lblAlgn val="ctr"/>
        <c:lblOffset val="100"/>
        <c:noMultiLvlLbl val="0"/>
      </c:catAx>
      <c:valAx>
        <c:axId val="1240349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403484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График месячных темпов роста цен за 2021 год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Лист2!$A$2:$A$13</c:f>
              <c:strCache>
                <c:ptCount val="12"/>
                <c:pt idx="0">
                  <c:v>Январь</c:v>
                </c:pt>
                <c:pt idx="1">
                  <c:v>Февраль</c:v>
                </c:pt>
                <c:pt idx="2">
                  <c:v>Март</c:v>
                </c:pt>
                <c:pt idx="3">
                  <c:v>Апрель</c:v>
                </c:pt>
                <c:pt idx="4">
                  <c:v>Май</c:v>
                </c:pt>
                <c:pt idx="5">
                  <c:v>Июнь</c:v>
                </c:pt>
                <c:pt idx="6">
                  <c:v>Июль</c:v>
                </c:pt>
                <c:pt idx="7">
                  <c:v>Август</c:v>
                </c:pt>
                <c:pt idx="8">
                  <c:v>Сентябрь</c:v>
                </c:pt>
                <c:pt idx="9">
                  <c:v>Октябрь</c:v>
                </c:pt>
                <c:pt idx="10">
                  <c:v>Ноябрь</c:v>
                </c:pt>
                <c:pt idx="11">
                  <c:v>Декабрь</c:v>
                </c:pt>
              </c:strCache>
            </c:strRef>
          </c:cat>
          <c:val>
            <c:numRef>
              <c:f>Лист2!$D$2:$D$13</c:f>
              <c:numCache>
                <c:formatCode>General</c:formatCode>
                <c:ptCount val="12"/>
                <c:pt idx="0">
                  <c:v>3.8</c:v>
                </c:pt>
                <c:pt idx="1">
                  <c:v>3.7037037037036953</c:v>
                </c:pt>
                <c:pt idx="2">
                  <c:v>3.5714285714285836</c:v>
                </c:pt>
                <c:pt idx="3">
                  <c:v>1.7241379310344769</c:v>
                </c:pt>
                <c:pt idx="4">
                  <c:v>-6.7796610169491629</c:v>
                </c:pt>
                <c:pt idx="5">
                  <c:v>-1.818181818181813</c:v>
                </c:pt>
                <c:pt idx="6">
                  <c:v>-3.7037037037037095</c:v>
                </c:pt>
                <c:pt idx="7">
                  <c:v>-7.6923076923076934</c:v>
                </c:pt>
                <c:pt idx="8">
                  <c:v>-2.0833333333333428</c:v>
                </c:pt>
                <c:pt idx="9">
                  <c:v>4.2553191489361808</c:v>
                </c:pt>
                <c:pt idx="10">
                  <c:v>2.0408163265306172</c:v>
                </c:pt>
                <c:pt idx="11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9B-4A37-AC4A-CCF43141CC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2498159"/>
        <c:axId val="1252503983"/>
      </c:lineChart>
      <c:catAx>
        <c:axId val="125249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52503983"/>
        <c:crosses val="autoZero"/>
        <c:auto val="1"/>
        <c:lblAlgn val="ctr"/>
        <c:lblOffset val="100"/>
        <c:noMultiLvlLbl val="0"/>
      </c:catAx>
      <c:valAx>
        <c:axId val="1252503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5249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График месячных индексов роста цен за 2022 год</a:t>
            </a:r>
          </a:p>
        </c:rich>
      </c:tx>
      <c:layout>
        <c:manualLayout>
          <c:xMode val="edge"/>
          <c:yMode val="edge"/>
          <c:x val="0.1096388888888888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Лист3!$A$2:$A$13</c:f>
              <c:strCache>
                <c:ptCount val="12"/>
                <c:pt idx="0">
                  <c:v>Январь</c:v>
                </c:pt>
                <c:pt idx="1">
                  <c:v>Февраль</c:v>
                </c:pt>
                <c:pt idx="2">
                  <c:v>Март</c:v>
                </c:pt>
                <c:pt idx="3">
                  <c:v>Апрель</c:v>
                </c:pt>
                <c:pt idx="4">
                  <c:v>Май</c:v>
                </c:pt>
                <c:pt idx="5">
                  <c:v>Июнь</c:v>
                </c:pt>
                <c:pt idx="6">
                  <c:v>Июль</c:v>
                </c:pt>
                <c:pt idx="7">
                  <c:v>Август</c:v>
                </c:pt>
                <c:pt idx="8">
                  <c:v>Сентябрь</c:v>
                </c:pt>
                <c:pt idx="9">
                  <c:v>Октябрь</c:v>
                </c:pt>
                <c:pt idx="10">
                  <c:v>Ноябрь</c:v>
                </c:pt>
                <c:pt idx="11">
                  <c:v>Декабрь</c:v>
                </c:pt>
              </c:strCache>
            </c:strRef>
          </c:cat>
          <c:val>
            <c:numRef>
              <c:f>Лист3!$C$2:$C$13</c:f>
              <c:numCache>
                <c:formatCode>General</c:formatCode>
                <c:ptCount val="12"/>
                <c:pt idx="0">
                  <c:v>101.8</c:v>
                </c:pt>
                <c:pt idx="1">
                  <c:v>96.36363636363636</c:v>
                </c:pt>
                <c:pt idx="2">
                  <c:v>101.88679245283019</c:v>
                </c:pt>
                <c:pt idx="3">
                  <c:v>105.55555555555556</c:v>
                </c:pt>
                <c:pt idx="4">
                  <c:v>107.01754385964912</c:v>
                </c:pt>
                <c:pt idx="5">
                  <c:v>102.45901639344261</c:v>
                </c:pt>
                <c:pt idx="6">
                  <c:v>99.2</c:v>
                </c:pt>
                <c:pt idx="7">
                  <c:v>102.74193548387096</c:v>
                </c:pt>
                <c:pt idx="8">
                  <c:v>96.075353218210353</c:v>
                </c:pt>
                <c:pt idx="9">
                  <c:v>99.346405228758172</c:v>
                </c:pt>
                <c:pt idx="10">
                  <c:v>102.63157894736842</c:v>
                </c:pt>
                <c:pt idx="11">
                  <c:v>97.916666666666657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A1-4BC5-AE60-33CA31C8D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0859519"/>
        <c:axId val="1240860351"/>
      </c:lineChart>
      <c:catAx>
        <c:axId val="12408595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40860351"/>
        <c:crosses val="autoZero"/>
        <c:auto val="1"/>
        <c:lblAlgn val="ctr"/>
        <c:lblOffset val="100"/>
        <c:noMultiLvlLbl val="0"/>
      </c:catAx>
      <c:valAx>
        <c:axId val="12408603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408595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График месячных темпов роста цен за 2022 год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Лист3!$A$2:$A$13</c:f>
              <c:strCache>
                <c:ptCount val="12"/>
                <c:pt idx="0">
                  <c:v>Январь</c:v>
                </c:pt>
                <c:pt idx="1">
                  <c:v>Февраль</c:v>
                </c:pt>
                <c:pt idx="2">
                  <c:v>Март</c:v>
                </c:pt>
                <c:pt idx="3">
                  <c:v>Апрель</c:v>
                </c:pt>
                <c:pt idx="4">
                  <c:v>Май</c:v>
                </c:pt>
                <c:pt idx="5">
                  <c:v>Июнь</c:v>
                </c:pt>
                <c:pt idx="6">
                  <c:v>Июль</c:v>
                </c:pt>
                <c:pt idx="7">
                  <c:v>Август</c:v>
                </c:pt>
                <c:pt idx="8">
                  <c:v>Сентябрь</c:v>
                </c:pt>
                <c:pt idx="9">
                  <c:v>Октябрь</c:v>
                </c:pt>
                <c:pt idx="10">
                  <c:v>Ноябрь</c:v>
                </c:pt>
                <c:pt idx="11">
                  <c:v>Декабрь</c:v>
                </c:pt>
              </c:strCache>
            </c:strRef>
          </c:cat>
          <c:val>
            <c:numRef>
              <c:f>Лист3!$D$2:$D$13</c:f>
              <c:numCache>
                <c:formatCode>General</c:formatCode>
                <c:ptCount val="12"/>
                <c:pt idx="0">
                  <c:v>1.8</c:v>
                </c:pt>
                <c:pt idx="1">
                  <c:v>-3.6363636363636402</c:v>
                </c:pt>
                <c:pt idx="2">
                  <c:v>1.8867924528301927</c:v>
                </c:pt>
                <c:pt idx="3">
                  <c:v>5.5555555555555571</c:v>
                </c:pt>
                <c:pt idx="4">
                  <c:v>7.0175438596491233</c:v>
                </c:pt>
                <c:pt idx="5">
                  <c:v>2.4590163934426101</c:v>
                </c:pt>
                <c:pt idx="6">
                  <c:v>-0.79999999999999716</c:v>
                </c:pt>
                <c:pt idx="7">
                  <c:v>2.7419354838709609</c:v>
                </c:pt>
                <c:pt idx="8">
                  <c:v>-3.9246467817896473</c:v>
                </c:pt>
                <c:pt idx="9">
                  <c:v>-0.65359477124182774</c:v>
                </c:pt>
                <c:pt idx="10">
                  <c:v>2.6315789473684248</c:v>
                </c:pt>
                <c:pt idx="11">
                  <c:v>-2.0833333333333428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C8-406C-A06D-2BF0E49AD9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7152735"/>
        <c:axId val="1247146495"/>
      </c:lineChart>
      <c:catAx>
        <c:axId val="12471527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47146495"/>
        <c:crosses val="autoZero"/>
        <c:auto val="1"/>
        <c:lblAlgn val="ctr"/>
        <c:lblOffset val="100"/>
        <c:noMultiLvlLbl val="0"/>
      </c:catAx>
      <c:valAx>
        <c:axId val="12471464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471527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Лист4!$B$1</c:f>
              <c:strCache>
                <c:ptCount val="1"/>
                <c:pt idx="0">
                  <c:v>Годовой индекс роста (%)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Лист4!$A$2:$A$4</c:f>
              <c:numCache>
                <c:formatCode>General</c:formatCode>
                <c:ptCount val="3"/>
                <c:pt idx="0">
                  <c:v>2020</c:v>
                </c:pt>
                <c:pt idx="1">
                  <c:v>2021</c:v>
                </c:pt>
                <c:pt idx="2">
                  <c:v>2020</c:v>
                </c:pt>
              </c:numCache>
            </c:numRef>
          </c:cat>
          <c:val>
            <c:numRef>
              <c:f>Лист4!$B$2:$B$4</c:f>
              <c:numCache>
                <c:formatCode>General</c:formatCode>
                <c:ptCount val="3"/>
                <c:pt idx="0">
                  <c:v>100</c:v>
                </c:pt>
                <c:pt idx="1">
                  <c:v>103.84610000000001</c:v>
                </c:pt>
                <c:pt idx="2">
                  <c:v>113.1418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8C-4E79-9B75-CBAFF66244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39514287"/>
        <c:axId val="1239506799"/>
      </c:lineChart>
      <c:catAx>
        <c:axId val="12395142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39506799"/>
        <c:crosses val="autoZero"/>
        <c:auto val="1"/>
        <c:lblAlgn val="ctr"/>
        <c:lblOffset val="100"/>
        <c:noMultiLvlLbl val="0"/>
      </c:catAx>
      <c:valAx>
        <c:axId val="1239506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395142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86789151356081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Лист4!$C$1</c:f>
              <c:strCache>
                <c:ptCount val="1"/>
                <c:pt idx="0">
                  <c:v>Годовой темп роста (%)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Лист4!$A$2:$A$4</c:f>
              <c:numCache>
                <c:formatCode>General</c:formatCode>
                <c:ptCount val="3"/>
                <c:pt idx="0">
                  <c:v>2020</c:v>
                </c:pt>
                <c:pt idx="1">
                  <c:v>2021</c:v>
                </c:pt>
                <c:pt idx="2">
                  <c:v>2020</c:v>
                </c:pt>
              </c:numCache>
            </c:numRef>
          </c:cat>
          <c:val>
            <c:numRef>
              <c:f>Лист4!$C$2:$C$4</c:f>
              <c:numCache>
                <c:formatCode>General</c:formatCode>
                <c:ptCount val="3"/>
                <c:pt idx="0">
                  <c:v>0</c:v>
                </c:pt>
                <c:pt idx="1">
                  <c:v>3.846100000000007</c:v>
                </c:pt>
                <c:pt idx="2">
                  <c:v>13.141800000000003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8B-4823-9B62-DBE28B55AA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00145727"/>
        <c:axId val="1300149471"/>
      </c:lineChart>
      <c:catAx>
        <c:axId val="13001457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00149471"/>
        <c:crosses val="autoZero"/>
        <c:auto val="1"/>
        <c:lblAlgn val="ctr"/>
        <c:lblOffset val="100"/>
        <c:noMultiLvlLbl val="0"/>
      </c:catAx>
      <c:valAx>
        <c:axId val="1300149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00145727"/>
        <c:crosses val="autoZero"/>
        <c:crossBetween val="between"/>
      </c:valAx>
      <c:spPr>
        <a:noFill/>
        <a:ln>
          <a:solidFill>
            <a:schemeClr val="accent2">
              <a:lumMod val="7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137160</xdr:colOff>
      <xdr:row>0</xdr:row>
      <xdr:rowOff>182880</xdr:rowOff>
    </xdr:from>
    <xdr:to>
      <xdr:col>10</xdr:col>
      <xdr:colOff>175260</xdr:colOff>
      <xdr:row>11</xdr:row>
      <xdr:rowOff>205740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EE43A82F-9C58-AE93-979E-31122DAD7B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138953</xdr:colOff>
      <xdr:row>12</xdr:row>
      <xdr:rowOff>85164</xdr:rowOff>
    </xdr:from>
    <xdr:to>
      <xdr:col>10</xdr:col>
      <xdr:colOff>174812</xdr:colOff>
      <xdr:row>27</xdr:row>
      <xdr:rowOff>85164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ABBECE24-0BC1-4016-5ED0-905FCEE082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129540</xdr:colOff>
      <xdr:row>0</xdr:row>
      <xdr:rowOff>30480</xdr:rowOff>
    </xdr:from>
    <xdr:to>
      <xdr:col>9</xdr:col>
      <xdr:colOff>548640</xdr:colOff>
      <xdr:row>9</xdr:row>
      <xdr:rowOff>175260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60795D3A-9523-72EA-9CF6-FA232C394A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144780</xdr:colOff>
      <xdr:row>10</xdr:row>
      <xdr:rowOff>53340</xdr:rowOff>
    </xdr:from>
    <xdr:to>
      <xdr:col>9</xdr:col>
      <xdr:colOff>563880</xdr:colOff>
      <xdr:row>24</xdr:row>
      <xdr:rowOff>76200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4109CCEF-F5B3-3701-79D5-1F5C78B10A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91440</xdr:colOff>
      <xdr:row>0</xdr:row>
      <xdr:rowOff>22860</xdr:rowOff>
    </xdr:from>
    <xdr:to>
      <xdr:col>11</xdr:col>
      <xdr:colOff>396240</xdr:colOff>
      <xdr:row>9</xdr:row>
      <xdr:rowOff>205740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175D1C93-9B04-AFA4-23DA-451BFB258C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190500</xdr:colOff>
      <xdr:row>9</xdr:row>
      <xdr:rowOff>182880</xdr:rowOff>
    </xdr:from>
    <xdr:to>
      <xdr:col>11</xdr:col>
      <xdr:colOff>495300</xdr:colOff>
      <xdr:row>23</xdr:row>
      <xdr:rowOff>152400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769E42D6-E931-C407-756F-C3C9A932FF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167640</xdr:rowOff>
    </xdr:from>
    <xdr:to>
      <xdr:col>2</xdr:col>
      <xdr:colOff>1729740</xdr:colOff>
      <xdr:row>19</xdr:row>
      <xdr:rowOff>167640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665F7084-D9D8-65D0-1A42-90894D8C29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2026920</xdr:colOff>
      <xdr:row>5</xdr:row>
      <xdr:rowOff>38100</xdr:rowOff>
    </xdr:from>
    <xdr:to>
      <xdr:col>10</xdr:col>
      <xdr:colOff>266700</xdr:colOff>
      <xdr:row>20</xdr:row>
      <xdr:rowOff>38100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5720EC6A-D89A-02DB-7BD4-6CA6494D9D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C5640-1D9E-4894-8247-1749C533AF3F}">
  <dimension ref="A1:T13"/>
  <sheetViews>
    <sheetView zoomScale="85" zoomScaleNormal="85" workbookViewId="0">
      <selection activeCell="B13" sqref="B13"/>
    </sheetView>
  </sheetViews>
  <sheetFormatPr defaultRowHeight="14.4" x14ac:dyDescent="0.3"/>
  <cols>
    <col min="1" max="1" width="17.109375" customWidth="1"/>
    <col min="2" max="2" width="16" customWidth="1"/>
    <col min="3" max="3" width="18.5546875" customWidth="1"/>
    <col min="4" max="4" width="15" customWidth="1"/>
    <col min="5" max="5" width="15.88671875" customWidth="1"/>
    <col min="6" max="6" width="14.6640625" customWidth="1"/>
  </cols>
  <sheetData>
    <row r="1" spans="1:20" ht="52.8" thickBot="1" x14ac:dyDescent="0.35">
      <c r="A1" s="1" t="s">
        <v>0</v>
      </c>
      <c r="B1" s="1" t="s">
        <v>1</v>
      </c>
      <c r="C1" s="1" t="s">
        <v>14</v>
      </c>
      <c r="D1" s="1" t="s">
        <v>15</v>
      </c>
      <c r="E1" s="6"/>
      <c r="F1" s="6"/>
      <c r="G1" s="6"/>
      <c r="H1" s="6"/>
      <c r="I1" s="6"/>
      <c r="J1" s="6"/>
      <c r="K1" s="6"/>
      <c r="L1" s="3"/>
      <c r="M1" s="4"/>
      <c r="N1" s="4"/>
      <c r="O1" s="4"/>
      <c r="P1" s="4"/>
      <c r="Q1" s="4"/>
      <c r="R1" s="4"/>
      <c r="S1" s="4"/>
      <c r="T1" s="4"/>
    </row>
    <row r="2" spans="1:20" ht="18.600000000000001" thickBot="1" x14ac:dyDescent="0.4">
      <c r="A2" s="2" t="s">
        <v>2</v>
      </c>
      <c r="B2" s="2">
        <v>400000</v>
      </c>
      <c r="C2" s="5">
        <v>100</v>
      </c>
      <c r="D2" s="5">
        <v>0</v>
      </c>
      <c r="E2" s="7"/>
      <c r="F2" s="7"/>
      <c r="G2" s="7"/>
      <c r="H2" s="7"/>
      <c r="I2" s="7"/>
      <c r="J2" s="7"/>
      <c r="K2" s="7"/>
    </row>
    <row r="3" spans="1:20" ht="18.600000000000001" thickBot="1" x14ac:dyDescent="0.4">
      <c r="A3" s="2" t="s">
        <v>3</v>
      </c>
      <c r="B3" s="2">
        <v>450000</v>
      </c>
      <c r="C3" s="5">
        <f>B3/B2*100</f>
        <v>112.5</v>
      </c>
      <c r="D3" s="5">
        <f>C3-100</f>
        <v>12.5</v>
      </c>
      <c r="E3" s="7"/>
      <c r="F3" s="7"/>
      <c r="G3" s="7"/>
      <c r="H3" s="7"/>
      <c r="I3" s="7"/>
      <c r="J3" s="7"/>
      <c r="K3" s="7"/>
    </row>
    <row r="4" spans="1:20" ht="18.600000000000001" thickBot="1" x14ac:dyDescent="0.4">
      <c r="A4" s="2" t="s">
        <v>4</v>
      </c>
      <c r="B4" s="2">
        <v>380000</v>
      </c>
      <c r="C4" s="5">
        <f t="shared" ref="C4:C13" si="0">B4/B3*100</f>
        <v>84.444444444444443</v>
      </c>
      <c r="D4" s="5">
        <f t="shared" ref="D4:D13" si="1">C4-100</f>
        <v>-15.555555555555557</v>
      </c>
      <c r="E4" s="7"/>
      <c r="F4" s="7"/>
      <c r="G4" s="7"/>
      <c r="H4" s="7"/>
      <c r="I4" s="7"/>
      <c r="J4" s="7"/>
      <c r="K4" s="7"/>
    </row>
    <row r="5" spans="1:20" ht="18.600000000000001" thickBot="1" x14ac:dyDescent="0.4">
      <c r="A5" s="2" t="s">
        <v>5</v>
      </c>
      <c r="B5" s="2">
        <v>500000</v>
      </c>
      <c r="C5" s="5">
        <f t="shared" si="0"/>
        <v>131.57894736842107</v>
      </c>
      <c r="D5" s="5">
        <f t="shared" si="1"/>
        <v>31.578947368421069</v>
      </c>
      <c r="E5" s="7"/>
      <c r="F5" s="7"/>
      <c r="G5" s="7"/>
      <c r="H5" s="7"/>
      <c r="I5" s="7"/>
      <c r="J5" s="7"/>
      <c r="K5" s="7"/>
    </row>
    <row r="6" spans="1:20" ht="18.600000000000001" thickBot="1" x14ac:dyDescent="0.4">
      <c r="A6" s="2" t="s">
        <v>6</v>
      </c>
      <c r="B6" s="2">
        <v>550000</v>
      </c>
      <c r="C6" s="5">
        <f t="shared" si="0"/>
        <v>110.00000000000001</v>
      </c>
      <c r="D6" s="5">
        <f t="shared" si="1"/>
        <v>10.000000000000014</v>
      </c>
      <c r="E6" s="7"/>
      <c r="F6" s="7"/>
      <c r="G6" s="7"/>
      <c r="H6" s="7"/>
      <c r="I6" s="7"/>
      <c r="J6" s="7"/>
      <c r="K6" s="7"/>
    </row>
    <row r="7" spans="1:20" ht="18.600000000000001" thickBot="1" x14ac:dyDescent="0.4">
      <c r="A7" s="2" t="s">
        <v>7</v>
      </c>
      <c r="B7" s="2">
        <v>560000</v>
      </c>
      <c r="C7" s="5">
        <f t="shared" si="0"/>
        <v>101.81818181818181</v>
      </c>
      <c r="D7" s="5">
        <f t="shared" si="1"/>
        <v>1.818181818181813</v>
      </c>
      <c r="E7" s="7"/>
      <c r="F7" s="7"/>
      <c r="G7" s="7"/>
      <c r="H7" s="7"/>
      <c r="I7" s="7"/>
      <c r="J7" s="7"/>
      <c r="K7" s="7"/>
    </row>
    <row r="8" spans="1:20" ht="18.600000000000001" thickBot="1" x14ac:dyDescent="0.4">
      <c r="A8" s="2" t="s">
        <v>8</v>
      </c>
      <c r="B8" s="2">
        <v>520000</v>
      </c>
      <c r="C8" s="5">
        <f t="shared" si="0"/>
        <v>92.857142857142861</v>
      </c>
      <c r="D8" s="5">
        <f t="shared" si="1"/>
        <v>-7.1428571428571388</v>
      </c>
      <c r="E8" s="7"/>
      <c r="F8" s="7"/>
      <c r="G8" s="7"/>
      <c r="H8" s="7"/>
      <c r="I8" s="7"/>
      <c r="J8" s="7"/>
      <c r="K8" s="7"/>
    </row>
    <row r="9" spans="1:20" ht="18.600000000000001" thickBot="1" x14ac:dyDescent="0.4">
      <c r="A9" s="2" t="s">
        <v>9</v>
      </c>
      <c r="B9" s="2">
        <v>480000</v>
      </c>
      <c r="C9" s="5">
        <f t="shared" si="0"/>
        <v>92.307692307692307</v>
      </c>
      <c r="D9" s="5">
        <f t="shared" si="1"/>
        <v>-7.6923076923076934</v>
      </c>
      <c r="E9" s="7"/>
      <c r="F9" s="7"/>
      <c r="G9" s="7"/>
      <c r="H9" s="7"/>
      <c r="I9" s="7"/>
      <c r="J9" s="7"/>
      <c r="K9" s="7"/>
    </row>
    <row r="10" spans="1:20" ht="18.600000000000001" thickBot="1" x14ac:dyDescent="0.4">
      <c r="A10" s="2" t="s">
        <v>10</v>
      </c>
      <c r="B10" s="2">
        <v>470000</v>
      </c>
      <c r="C10" s="5">
        <f t="shared" si="0"/>
        <v>97.916666666666657</v>
      </c>
      <c r="D10" s="5">
        <f t="shared" si="1"/>
        <v>-2.0833333333333428</v>
      </c>
      <c r="E10" s="7"/>
      <c r="F10" s="7"/>
      <c r="G10" s="7"/>
      <c r="H10" s="7"/>
      <c r="I10" s="7"/>
      <c r="J10" s="7"/>
      <c r="K10" s="7"/>
    </row>
    <row r="11" spans="1:20" ht="18.600000000000001" thickBot="1" x14ac:dyDescent="0.4">
      <c r="A11" s="2" t="s">
        <v>11</v>
      </c>
      <c r="B11" s="2">
        <v>490000</v>
      </c>
      <c r="C11" s="5">
        <f t="shared" si="0"/>
        <v>104.25531914893618</v>
      </c>
      <c r="D11" s="5">
        <f t="shared" si="1"/>
        <v>4.2553191489361808</v>
      </c>
      <c r="E11" s="7"/>
      <c r="F11" s="7"/>
      <c r="G11" s="7"/>
      <c r="H11" s="7"/>
      <c r="I11" s="7"/>
      <c r="J11" s="7"/>
      <c r="K11" s="7"/>
    </row>
    <row r="12" spans="1:20" ht="18.600000000000001" thickBot="1" x14ac:dyDescent="0.4">
      <c r="A12" s="2" t="s">
        <v>12</v>
      </c>
      <c r="B12" s="2">
        <v>500000</v>
      </c>
      <c r="C12" s="5">
        <f t="shared" si="0"/>
        <v>102.04081632653062</v>
      </c>
      <c r="D12" s="5">
        <f t="shared" si="1"/>
        <v>2.0408163265306172</v>
      </c>
      <c r="E12" s="7"/>
      <c r="F12" s="7"/>
      <c r="G12" s="7"/>
      <c r="H12" s="7"/>
      <c r="I12" s="7"/>
      <c r="J12" s="7"/>
      <c r="K12" s="7"/>
    </row>
    <row r="13" spans="1:20" ht="18.600000000000001" thickBot="1" x14ac:dyDescent="0.4">
      <c r="A13" s="2" t="s">
        <v>13</v>
      </c>
      <c r="B13" s="2">
        <v>520000</v>
      </c>
      <c r="C13" s="5">
        <f t="shared" si="0"/>
        <v>104</v>
      </c>
      <c r="D13" s="5">
        <f t="shared" si="1"/>
        <v>4</v>
      </c>
      <c r="E13" s="7"/>
      <c r="F13" s="7"/>
      <c r="G13" s="7"/>
      <c r="H13" s="7"/>
      <c r="I13" s="7"/>
      <c r="J13" s="7"/>
      <c r="K13" s="7"/>
    </row>
  </sheetData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B1B8FC-DA8E-4212-986B-642C399B3FE2}">
  <dimension ref="A1:D13"/>
  <sheetViews>
    <sheetView zoomScale="85" zoomScaleNormal="85" workbookViewId="0">
      <selection activeCell="L19" sqref="L19"/>
    </sheetView>
  </sheetViews>
  <sheetFormatPr defaultRowHeight="14.4" x14ac:dyDescent="0.3"/>
  <cols>
    <col min="1" max="1" width="18.44140625" customWidth="1"/>
    <col min="2" max="2" width="16.5546875" customWidth="1"/>
    <col min="3" max="4" width="17" customWidth="1"/>
    <col min="5" max="5" width="17.21875" customWidth="1"/>
    <col min="6" max="6" width="16.6640625" customWidth="1"/>
  </cols>
  <sheetData>
    <row r="1" spans="1:4" ht="52.8" thickBot="1" x14ac:dyDescent="0.35">
      <c r="A1" s="1" t="s">
        <v>0</v>
      </c>
      <c r="B1" s="1" t="s">
        <v>1</v>
      </c>
      <c r="C1" s="1" t="s">
        <v>14</v>
      </c>
      <c r="D1" s="1" t="s">
        <v>15</v>
      </c>
    </row>
    <row r="2" spans="1:4" ht="18.600000000000001" thickBot="1" x14ac:dyDescent="0.4">
      <c r="A2" s="2" t="s">
        <v>2</v>
      </c>
      <c r="B2" s="8">
        <v>540000</v>
      </c>
      <c r="C2" s="5">
        <v>103.8</v>
      </c>
      <c r="D2" s="5">
        <v>3.8</v>
      </c>
    </row>
    <row r="3" spans="1:4" ht="18.600000000000001" thickBot="1" x14ac:dyDescent="0.4">
      <c r="A3" s="2" t="s">
        <v>3</v>
      </c>
      <c r="B3" s="9">
        <v>560000</v>
      </c>
      <c r="C3" s="5">
        <f>B3/B2*100</f>
        <v>103.7037037037037</v>
      </c>
      <c r="D3" s="5">
        <f>C3-100</f>
        <v>3.7037037037036953</v>
      </c>
    </row>
    <row r="4" spans="1:4" ht="18.600000000000001" thickBot="1" x14ac:dyDescent="0.4">
      <c r="A4" s="2" t="s">
        <v>4</v>
      </c>
      <c r="B4" s="9">
        <v>580000</v>
      </c>
      <c r="C4" s="5">
        <f t="shared" ref="C4:C13" si="0">B4/B3*100</f>
        <v>103.57142857142858</v>
      </c>
      <c r="D4" s="5">
        <f t="shared" ref="D4:D13" si="1">C4-100</f>
        <v>3.5714285714285836</v>
      </c>
    </row>
    <row r="5" spans="1:4" ht="18.600000000000001" thickBot="1" x14ac:dyDescent="0.4">
      <c r="A5" s="2" t="s">
        <v>5</v>
      </c>
      <c r="B5" s="9">
        <v>590000</v>
      </c>
      <c r="C5" s="5">
        <f t="shared" si="0"/>
        <v>101.72413793103448</v>
      </c>
      <c r="D5" s="5">
        <f t="shared" si="1"/>
        <v>1.7241379310344769</v>
      </c>
    </row>
    <row r="6" spans="1:4" ht="18.600000000000001" thickBot="1" x14ac:dyDescent="0.4">
      <c r="A6" s="2" t="s">
        <v>6</v>
      </c>
      <c r="B6" s="9">
        <v>550000</v>
      </c>
      <c r="C6" s="5">
        <f t="shared" si="0"/>
        <v>93.220338983050837</v>
      </c>
      <c r="D6" s="5">
        <f t="shared" si="1"/>
        <v>-6.7796610169491629</v>
      </c>
    </row>
    <row r="7" spans="1:4" ht="18.600000000000001" thickBot="1" x14ac:dyDescent="0.4">
      <c r="A7" s="2" t="s">
        <v>7</v>
      </c>
      <c r="B7" s="9">
        <v>540000</v>
      </c>
      <c r="C7" s="5">
        <f t="shared" si="0"/>
        <v>98.181818181818187</v>
      </c>
      <c r="D7" s="5">
        <f t="shared" si="1"/>
        <v>-1.818181818181813</v>
      </c>
    </row>
    <row r="8" spans="1:4" ht="18.600000000000001" thickBot="1" x14ac:dyDescent="0.4">
      <c r="A8" s="2" t="s">
        <v>8</v>
      </c>
      <c r="B8" s="9">
        <v>520000</v>
      </c>
      <c r="C8" s="5">
        <f t="shared" si="0"/>
        <v>96.296296296296291</v>
      </c>
      <c r="D8" s="5">
        <f t="shared" si="1"/>
        <v>-3.7037037037037095</v>
      </c>
    </row>
    <row r="9" spans="1:4" ht="18.600000000000001" thickBot="1" x14ac:dyDescent="0.4">
      <c r="A9" s="2" t="s">
        <v>9</v>
      </c>
      <c r="B9" s="9">
        <v>480000</v>
      </c>
      <c r="C9" s="5">
        <f t="shared" si="0"/>
        <v>92.307692307692307</v>
      </c>
      <c r="D9" s="5">
        <f t="shared" si="1"/>
        <v>-7.6923076923076934</v>
      </c>
    </row>
    <row r="10" spans="1:4" ht="18.600000000000001" customHeight="1" thickBot="1" x14ac:dyDescent="0.4">
      <c r="A10" s="2" t="s">
        <v>10</v>
      </c>
      <c r="B10" s="9">
        <v>470000</v>
      </c>
      <c r="C10" s="5">
        <f t="shared" si="0"/>
        <v>97.916666666666657</v>
      </c>
      <c r="D10" s="5">
        <f t="shared" si="1"/>
        <v>-2.0833333333333428</v>
      </c>
    </row>
    <row r="11" spans="1:4" ht="19.8" customHeight="1" thickBot="1" x14ac:dyDescent="0.4">
      <c r="A11" s="2" t="s">
        <v>11</v>
      </c>
      <c r="B11" s="9">
        <v>490000</v>
      </c>
      <c r="C11" s="5">
        <f t="shared" si="0"/>
        <v>104.25531914893618</v>
      </c>
      <c r="D11" s="5">
        <f t="shared" si="1"/>
        <v>4.2553191489361808</v>
      </c>
    </row>
    <row r="12" spans="1:4" ht="20.399999999999999" customHeight="1" thickBot="1" x14ac:dyDescent="0.4">
      <c r="A12" s="2" t="s">
        <v>12</v>
      </c>
      <c r="B12" s="9">
        <v>500000</v>
      </c>
      <c r="C12" s="5">
        <f t="shared" si="0"/>
        <v>102.04081632653062</v>
      </c>
      <c r="D12" s="5">
        <f t="shared" si="1"/>
        <v>2.0408163265306172</v>
      </c>
    </row>
    <row r="13" spans="1:4" ht="15.6" customHeight="1" thickBot="1" x14ac:dyDescent="0.4">
      <c r="A13" s="2" t="s">
        <v>13</v>
      </c>
      <c r="B13" s="9">
        <v>540000</v>
      </c>
      <c r="C13" s="5">
        <f t="shared" si="0"/>
        <v>108</v>
      </c>
      <c r="D13" s="5">
        <f t="shared" si="1"/>
        <v>8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517AA-95F1-4AE1-96A5-07561D86D377}">
  <dimension ref="A1:D13"/>
  <sheetViews>
    <sheetView zoomScale="85" zoomScaleNormal="85" workbookViewId="0">
      <selection activeCell="A2" sqref="A2"/>
    </sheetView>
  </sheetViews>
  <sheetFormatPr defaultRowHeight="14.4" x14ac:dyDescent="0.3"/>
  <cols>
    <col min="1" max="1" width="17.88671875" customWidth="1"/>
    <col min="2" max="2" width="16" customWidth="1"/>
    <col min="3" max="3" width="18.21875" customWidth="1"/>
    <col min="4" max="4" width="16.88671875" customWidth="1"/>
  </cols>
  <sheetData>
    <row r="1" spans="1:4" ht="52.8" thickBot="1" x14ac:dyDescent="0.35">
      <c r="A1" s="1" t="s">
        <v>0</v>
      </c>
      <c r="B1" s="1" t="s">
        <v>1</v>
      </c>
      <c r="C1" s="1" t="s">
        <v>14</v>
      </c>
      <c r="D1" s="1" t="s">
        <v>15</v>
      </c>
    </row>
    <row r="2" spans="1:4" ht="18.600000000000001" thickBot="1" x14ac:dyDescent="0.4">
      <c r="A2" s="2" t="s">
        <v>2</v>
      </c>
      <c r="B2" s="8">
        <v>550000</v>
      </c>
      <c r="C2" s="5">
        <v>101.8</v>
      </c>
      <c r="D2" s="5">
        <v>1.8</v>
      </c>
    </row>
    <row r="3" spans="1:4" ht="18.600000000000001" thickBot="1" x14ac:dyDescent="0.4">
      <c r="A3" s="2" t="s">
        <v>3</v>
      </c>
      <c r="B3" s="9">
        <v>530000</v>
      </c>
      <c r="C3" s="5">
        <f>B3/B2*100</f>
        <v>96.36363636363636</v>
      </c>
      <c r="D3" s="5">
        <f>C3-100</f>
        <v>-3.6363636363636402</v>
      </c>
    </row>
    <row r="4" spans="1:4" ht="18.600000000000001" thickBot="1" x14ac:dyDescent="0.4">
      <c r="A4" s="2" t="s">
        <v>4</v>
      </c>
      <c r="B4" s="9">
        <v>540000</v>
      </c>
      <c r="C4" s="5">
        <f t="shared" ref="C4:C13" si="0">B4/B3*100</f>
        <v>101.88679245283019</v>
      </c>
      <c r="D4" s="5">
        <f t="shared" ref="D4:D13" si="1">C4-100</f>
        <v>1.8867924528301927</v>
      </c>
    </row>
    <row r="5" spans="1:4" ht="18.600000000000001" thickBot="1" x14ac:dyDescent="0.4">
      <c r="A5" s="2" t="s">
        <v>5</v>
      </c>
      <c r="B5" s="9">
        <v>570000</v>
      </c>
      <c r="C5" s="5">
        <f t="shared" si="0"/>
        <v>105.55555555555556</v>
      </c>
      <c r="D5" s="5">
        <f t="shared" si="1"/>
        <v>5.5555555555555571</v>
      </c>
    </row>
    <row r="6" spans="1:4" ht="18.600000000000001" thickBot="1" x14ac:dyDescent="0.4">
      <c r="A6" s="2" t="s">
        <v>6</v>
      </c>
      <c r="B6" s="9">
        <v>610000</v>
      </c>
      <c r="C6" s="5">
        <f t="shared" si="0"/>
        <v>107.01754385964912</v>
      </c>
      <c r="D6" s="5">
        <f t="shared" si="1"/>
        <v>7.0175438596491233</v>
      </c>
    </row>
    <row r="7" spans="1:4" ht="18.600000000000001" thickBot="1" x14ac:dyDescent="0.4">
      <c r="A7" s="2" t="s">
        <v>7</v>
      </c>
      <c r="B7" s="9">
        <v>625000</v>
      </c>
      <c r="C7" s="5">
        <f t="shared" si="0"/>
        <v>102.45901639344261</v>
      </c>
      <c r="D7" s="5">
        <f t="shared" si="1"/>
        <v>2.4590163934426101</v>
      </c>
    </row>
    <row r="8" spans="1:4" ht="18.600000000000001" thickBot="1" x14ac:dyDescent="0.4">
      <c r="A8" s="2" t="s">
        <v>8</v>
      </c>
      <c r="B8" s="9">
        <v>620000</v>
      </c>
      <c r="C8" s="5">
        <f t="shared" si="0"/>
        <v>99.2</v>
      </c>
      <c r="D8" s="5">
        <f t="shared" si="1"/>
        <v>-0.79999999999999716</v>
      </c>
    </row>
    <row r="9" spans="1:4" ht="18.600000000000001" thickBot="1" x14ac:dyDescent="0.4">
      <c r="A9" s="2" t="s">
        <v>9</v>
      </c>
      <c r="B9" s="9">
        <v>637000</v>
      </c>
      <c r="C9" s="5">
        <f t="shared" si="0"/>
        <v>102.74193548387096</v>
      </c>
      <c r="D9" s="5">
        <f t="shared" si="1"/>
        <v>2.7419354838709609</v>
      </c>
    </row>
    <row r="10" spans="1:4" ht="18.600000000000001" thickBot="1" x14ac:dyDescent="0.4">
      <c r="A10" s="2" t="s">
        <v>10</v>
      </c>
      <c r="B10" s="9">
        <v>612000</v>
      </c>
      <c r="C10" s="5">
        <f t="shared" si="0"/>
        <v>96.075353218210353</v>
      </c>
      <c r="D10" s="5">
        <f t="shared" si="1"/>
        <v>-3.9246467817896473</v>
      </c>
    </row>
    <row r="11" spans="1:4" ht="18.600000000000001" thickBot="1" x14ac:dyDescent="0.4">
      <c r="A11" s="2" t="s">
        <v>11</v>
      </c>
      <c r="B11" s="9">
        <v>608000</v>
      </c>
      <c r="C11" s="5">
        <f t="shared" si="0"/>
        <v>99.346405228758172</v>
      </c>
      <c r="D11" s="5">
        <f t="shared" si="1"/>
        <v>-0.65359477124182774</v>
      </c>
    </row>
    <row r="12" spans="1:4" ht="18.600000000000001" thickBot="1" x14ac:dyDescent="0.4">
      <c r="A12" s="2" t="s">
        <v>12</v>
      </c>
      <c r="B12" s="9">
        <v>624000</v>
      </c>
      <c r="C12" s="5">
        <f t="shared" si="0"/>
        <v>102.63157894736842</v>
      </c>
      <c r="D12" s="5">
        <f t="shared" si="1"/>
        <v>2.6315789473684248</v>
      </c>
    </row>
    <row r="13" spans="1:4" ht="18.600000000000001" thickBot="1" x14ac:dyDescent="0.4">
      <c r="A13" s="2" t="s">
        <v>13</v>
      </c>
      <c r="B13" s="9">
        <v>611000</v>
      </c>
      <c r="C13" s="5">
        <f t="shared" si="0"/>
        <v>97.916666666666657</v>
      </c>
      <c r="D13" s="5">
        <f t="shared" si="1"/>
        <v>-2.0833333333333428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420B6-27FB-4F1B-B5DD-DCBBB2841A78}">
  <dimension ref="A1:C4"/>
  <sheetViews>
    <sheetView tabSelected="1" workbookViewId="0">
      <selection activeCell="K3" sqref="K3"/>
    </sheetView>
  </sheetViews>
  <sheetFormatPr defaultRowHeight="14.4" x14ac:dyDescent="0.3"/>
  <cols>
    <col min="2" max="2" width="32.5546875" customWidth="1"/>
    <col min="3" max="3" width="30.109375" customWidth="1"/>
  </cols>
  <sheetData>
    <row r="1" spans="1:3" ht="17.399999999999999" x14ac:dyDescent="0.3">
      <c r="A1" s="10" t="s">
        <v>16</v>
      </c>
      <c r="B1" s="10" t="s">
        <v>17</v>
      </c>
      <c r="C1" s="10" t="s">
        <v>18</v>
      </c>
    </row>
    <row r="2" spans="1:3" ht="18" x14ac:dyDescent="0.35">
      <c r="A2" s="11">
        <v>2020</v>
      </c>
      <c r="B2" s="11">
        <v>100</v>
      </c>
      <c r="C2" s="11">
        <v>0</v>
      </c>
    </row>
    <row r="3" spans="1:3" ht="18" x14ac:dyDescent="0.35">
      <c r="A3" s="11">
        <v>2021</v>
      </c>
      <c r="B3" s="11">
        <v>103.84610000000001</v>
      </c>
      <c r="C3" s="11">
        <f>B3-100</f>
        <v>3.846100000000007</v>
      </c>
    </row>
    <row r="4" spans="1:3" ht="18" x14ac:dyDescent="0.35">
      <c r="A4" s="11">
        <v>2020</v>
      </c>
      <c r="B4" s="11">
        <v>113.1418</v>
      </c>
      <c r="C4" s="11">
        <f>B4-100</f>
        <v>13.141800000000003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Лист1</vt:lpstr>
      <vt:lpstr>Лист2</vt:lpstr>
      <vt:lpstr>Лист3</vt:lpstr>
      <vt:lpstr>Лист4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Daniil</dc:creator>
  <cp:lastModifiedBy>Даниил Антонов</cp:lastModifiedBy>
  <dcterms:created xsi:type="dcterms:W3CDTF">2023-10-23T22:01:54Z</dcterms:created>
  <dcterms:modified xsi:type="dcterms:W3CDTF">2023-10-24T07:47:49Z</dcterms:modified>
</cp:coreProperties>
</file>